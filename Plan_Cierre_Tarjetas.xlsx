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el" sheetId="1" state="visible" r:id="rId1"/>
    <sheet name="Deudas" sheetId="2" state="visible" r:id="rId2"/>
    <sheet name="Gastos Fijos" sheetId="3" state="visible" r:id="rId3"/>
    <sheet name="Mes 1" sheetId="4" state="visible" r:id="rId4"/>
    <sheet name="Mes 2" sheetId="5" state="visible" r:id="rId5"/>
    <sheet name="Mes 3" sheetId="6" state="visible" r:id="rId6"/>
  </sheets>
  <definedNames/>
  <calcPr calcId="124519" fullCalcOnLoad="1"/>
</workbook>
</file>

<file path=xl/styles.xml><?xml version="1.0" encoding="utf-8"?>
<styleSheet xmlns="http://schemas.openxmlformats.org/spreadsheetml/2006/main">
  <numFmts count="1">
    <numFmt numFmtId="164" formatCode="#,##0&quot; COP&quot;"/>
  </numFmts>
  <fonts count="10">
    <font>
      <name val="Calibri"/>
      <family val="2"/>
      <color theme="1"/>
      <sz val="11"/>
      <scheme val="minor"/>
    </font>
    <font>
      <b val="1"/>
      <color rgb="001F3864"/>
      <sz val="14"/>
    </font>
    <font>
      <b val="1"/>
    </font>
    <font>
      <b val="1"/>
      <sz val="12"/>
    </font>
    <font>
      <b val="1"/>
      <color rgb="001F3864"/>
      <sz val="12"/>
    </font>
    <font>
      <b val="1"/>
      <i val="1"/>
      <color rgb="001F3864"/>
    </font>
    <font>
      <b val="1"/>
      <color rgb="00FFFFFF"/>
      <sz val="12"/>
    </font>
    <font>
      <i val="1"/>
      <color rgb="007F7F7F"/>
      <sz val="9"/>
    </font>
    <font/>
    <font>
      <i val="1"/>
      <color rgb="00808080"/>
    </font>
  </fonts>
  <fills count="4">
    <fill>
      <patternFill/>
    </fill>
    <fill>
      <patternFill patternType="gray125"/>
    </fill>
    <fill>
      <patternFill patternType="solid">
        <fgColor rgb="00D9E2F3"/>
      </patternFill>
    </fill>
    <fill>
      <patternFill patternType="solid">
        <fgColor rgb="001F386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1" pivotButton="0" quotePrefix="0" xfId="0"/>
    <xf numFmtId="164" fontId="0" fillId="0" borderId="1" pivotButton="0" quotePrefix="0" xfId="0"/>
    <xf numFmtId="0" fontId="2" fillId="0" borderId="0" pivotButton="0" quotePrefix="0" xfId="0"/>
    <xf numFmtId="0" fontId="3"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0" fillId="0" borderId="1" pivotButton="0" quotePrefix="0" xfId="0"/>
    <xf numFmtId="0" fontId="5" fillId="0" borderId="0" pivotButton="0" quotePrefix="0" xfId="0"/>
    <xf numFmtId="0" fontId="0" fillId="0" borderId="0" applyAlignment="1" pivotButton="0" quotePrefix="0" xfId="0">
      <alignment vertical="top" wrapText="1"/>
    </xf>
    <xf numFmtId="0" fontId="6" fillId="3" borderId="1" applyAlignment="1" pivotButton="0" quotePrefix="0" xfId="0">
      <alignment horizontal="center" vertical="center" wrapText="1"/>
    </xf>
    <xf numFmtId="10" fontId="0" fillId="0" borderId="1" pivotButton="0" quotePrefix="0" xfId="0"/>
    <xf numFmtId="164" fontId="2" fillId="0" borderId="1" pivotButton="0" quotePrefix="0" xfId="0"/>
    <xf numFmtId="0" fontId="7" fillId="0" borderId="0" applyAlignment="1" pivotButton="0" quotePrefix="0" xfId="0">
      <alignment wrapText="1"/>
    </xf>
    <xf numFmtId="0" fontId="8" fillId="0" borderId="1" pivotButton="0" quotePrefix="0" xfId="0"/>
    <xf numFmtId="0" fontId="9" fillId="0" borderId="1" pivotButton="0" quotePrefix="0" xfId="0"/>
    <xf numFmtId="164" fontId="9"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23"/>
  <sheetViews>
    <sheetView showGridLines="0" workbookViewId="0">
      <selection activeCell="A1" sqref="A1"/>
    </sheetView>
  </sheetViews>
  <sheetFormatPr baseColWidth="8" defaultRowHeight="15"/>
  <cols>
    <col width="3" customWidth="1" min="1" max="1"/>
    <col width="12" customWidth="1" min="2" max="2"/>
    <col width="16" customWidth="1" min="3" max="3"/>
    <col width="16" customWidth="1" min="4" max="4"/>
    <col width="14" customWidth="1" min="5" max="5"/>
    <col width="14" customWidth="1" min="6" max="6"/>
    <col width="16" customWidth="1" min="7" max="7"/>
    <col width="22" customWidth="1" min="8" max="8"/>
    <col width="12" customWidth="1" min="9" max="9"/>
  </cols>
  <sheetData>
    <row r="2">
      <c r="B2" s="1" t="inlineStr">
        <is>
          <t>PLAN DE CIERRE DE TARJETAS — PANEL DE CONTROL</t>
        </is>
      </c>
    </row>
    <row r="4">
      <c r="B4" s="2" t="inlineStr">
        <is>
          <t>Ingreso mensual total</t>
        </is>
      </c>
      <c r="C4" s="3">
        <f>Movimientos!D4</f>
        <v/>
      </c>
    </row>
    <row r="5">
      <c r="B5" s="2" t="inlineStr">
        <is>
          <t>Gastos fijos</t>
        </is>
      </c>
      <c r="C5" s="3">
        <f>Movimientos!D5</f>
        <v/>
      </c>
    </row>
    <row r="6">
      <c r="B6" s="2" t="inlineStr">
        <is>
          <t>Presupuesto disponible para tarjetas</t>
        </is>
      </c>
      <c r="C6" s="3">
        <f>C4-C5</f>
        <v/>
      </c>
    </row>
    <row r="7">
      <c r="B7" s="2" t="inlineStr">
        <is>
          <t>Saldo total tarjetas (hoy)</t>
        </is>
      </c>
      <c r="C7" s="3">
        <f>Deudas!D9</f>
        <v/>
      </c>
    </row>
    <row r="9">
      <c r="B9" s="4" t="inlineStr">
        <is>
          <t>Estado</t>
        </is>
      </c>
      <c r="C9" s="5">
        <f>IF(C7&lt;=0,"✅ TARJETAS PAGADAS","⏳ En proceso")</f>
        <v/>
      </c>
    </row>
    <row r="11">
      <c r="B11" s="6" t="inlineStr">
        <is>
          <t>Resumen y cuadre por mes</t>
        </is>
      </c>
    </row>
    <row r="12">
      <c r="B12" s="7" t="inlineStr">
        <is>
          <t>Mes</t>
        </is>
      </c>
      <c r="C12" s="7" t="inlineStr">
        <is>
          <t>Ingreso Total</t>
        </is>
      </c>
      <c r="D12" s="7" t="inlineStr">
        <is>
          <t>Gasto Total</t>
        </is>
      </c>
      <c r="E12" s="7" t="inlineStr">
        <is>
          <t>Diferencia</t>
        </is>
      </c>
      <c r="F12" s="7" t="inlineStr">
        <is>
          <t>¿Cuadra?</t>
        </is>
      </c>
      <c r="G12" s="7" t="inlineStr">
        <is>
          <t>Pago Tarjetas</t>
        </is>
      </c>
      <c r="H12" s="7" t="inlineStr">
        <is>
          <t>Saldo Restante Tarjetas</t>
        </is>
      </c>
      <c r="I12" s="7" t="inlineStr">
        <is>
          <t>¿Cerradas?</t>
        </is>
      </c>
    </row>
    <row r="13">
      <c r="B13" s="8" t="inlineStr">
        <is>
          <t>Mes 1</t>
        </is>
      </c>
      <c r="C13" s="3">
        <f>'Mes 1'!C6</f>
        <v/>
      </c>
      <c r="D13" s="3">
        <f>'Mes 1'!C48</f>
        <v/>
      </c>
      <c r="E13" s="3">
        <f>'Mes 1'!C49</f>
        <v/>
      </c>
      <c r="F13" s="8">
        <f>'Mes 1'!C50</f>
        <v/>
      </c>
      <c r="G13" s="3">
        <f>SUMIFS('Mes 1'!$F:$F,'Mes 1'!$G:$G,"Deuda")</f>
        <v/>
      </c>
      <c r="H13" s="3">
        <f>MAX(3477125-(G13),0)</f>
        <v/>
      </c>
      <c r="I13" s="8">
        <f>IF(H13&lt;=0,"✅ Sí","⏳ No")</f>
        <v/>
      </c>
    </row>
    <row r="14">
      <c r="B14" s="8" t="inlineStr">
        <is>
          <t>Mes 2</t>
        </is>
      </c>
      <c r="C14" s="3">
        <f>'Mes 2'!C6</f>
        <v/>
      </c>
      <c r="D14" s="3">
        <f>'Mes 2'!C48</f>
        <v/>
      </c>
      <c r="E14" s="3">
        <f>'Mes 2'!C49</f>
        <v/>
      </c>
      <c r="F14" s="8">
        <f>'Mes 2'!C50</f>
        <v/>
      </c>
      <c r="G14" s="3">
        <f>SUMIFS('Mes 2'!$F:$F,'Mes 2'!$G:$G,"Deuda")</f>
        <v/>
      </c>
      <c r="H14" s="3">
        <f>MAX(3477125-(G13+G14),0)</f>
        <v/>
      </c>
      <c r="I14" s="8">
        <f>IF(H14&lt;=0,"✅ Sí","⏳ No")</f>
        <v/>
      </c>
    </row>
    <row r="15">
      <c r="B15" s="8" t="inlineStr">
        <is>
          <t>Mes 3</t>
        </is>
      </c>
      <c r="C15" s="3">
        <f>'Mes 3'!C6</f>
        <v/>
      </c>
      <c r="D15" s="3">
        <f>'Mes 3'!C48</f>
        <v/>
      </c>
      <c r="E15" s="3">
        <f>'Mes 3'!C49</f>
        <v/>
      </c>
      <c r="F15" s="8">
        <f>'Mes 3'!C50</f>
        <v/>
      </c>
      <c r="G15" s="3">
        <f>SUMIFS('Mes 3'!$F:$F,'Mes 3'!$G:$G,"Deuda")</f>
        <v/>
      </c>
      <c r="H15" s="3">
        <f>MAX(3477125-(G13+G14+G15),0)</f>
        <v/>
      </c>
      <c r="I15" s="8">
        <f>IF(H15&lt;=0,"✅ Sí","⏳ No")</f>
        <v/>
      </c>
    </row>
    <row r="18">
      <c r="B18" s="9" t="inlineStr">
        <is>
          <t>Instrucciones rápidas</t>
        </is>
      </c>
    </row>
    <row r="19">
      <c r="B19" s="10" t="inlineStr">
        <is>
          <t>1) Registra cada movimiento real en la pestaña del mes correspondiente ('Mes 1', 'Mes 2', 'Mes 3'), indicando la quincena.
2) Cada hoja de mes te dice sola si 'Cuadra' (ingreso quincenal vs. lo gastado) al final.
3) Las pestañas 'Deudas' y este Panel se actualizan solas sumando las 3 hojas de mes.
4) Cuando 'Saldo total tarjetas' llegue a 0, vuelve al chat para el nuevo plan (Confama + ahorro).</t>
        </is>
      </c>
    </row>
    <row r="20"/>
    <row r="21"/>
    <row r="22"/>
    <row r="23"/>
  </sheetData>
  <mergeCells count="2">
    <mergeCell ref="B2:F2"/>
    <mergeCell ref="B19:I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cols>
    <col width="3" customWidth="1" min="1" max="1"/>
    <col width="20" customWidth="1" min="2" max="2"/>
    <col width="16" customWidth="1" min="3" max="3"/>
    <col width="14" customWidth="1" min="4" max="4"/>
    <col width="16" customWidth="1" min="5" max="5"/>
    <col width="20" customWidth="1" min="6" max="6"/>
    <col width="20" customWidth="1" min="7" max="7"/>
    <col width="14" customWidth="1" min="8" max="8"/>
  </cols>
  <sheetData>
    <row r="2">
      <c r="B2" s="1" t="inlineStr">
        <is>
          <t>MATRIZ DE DEUDAS — TARJETAS</t>
        </is>
      </c>
    </row>
    <row r="4">
      <c r="B4" s="11" t="inlineStr">
        <is>
          <t>Acreedor</t>
        </is>
      </c>
      <c r="C4" s="11" t="inlineStr">
        <is>
          <t>Saldo Inicial</t>
        </is>
      </c>
      <c r="D4" s="11" t="inlineStr">
        <is>
          <t>Tasa EA (%)</t>
        </is>
      </c>
      <c r="E4" s="11" t="inlineStr">
        <is>
          <t>Cuota Mínima</t>
        </is>
      </c>
      <c r="F4" s="11" t="inlineStr">
        <is>
          <t>Total Abonado (auto)</t>
        </is>
      </c>
      <c r="G4" s="11" t="inlineStr">
        <is>
          <t>Saldo Actual (auto)</t>
        </is>
      </c>
      <c r="H4" s="11" t="inlineStr">
        <is>
          <t>Estado</t>
        </is>
      </c>
    </row>
    <row r="5">
      <c r="B5" s="8" t="inlineStr">
        <is>
          <t>Bancolombia 1</t>
        </is>
      </c>
      <c r="C5" s="3" t="n">
        <v>455640</v>
      </c>
      <c r="D5" s="12" t="n">
        <v>0.296152</v>
      </c>
      <c r="E5" s="3" t="n">
        <v>164806</v>
      </c>
      <c r="F5" s="3">
        <f>SUMIFS('Mes 1'!$F:$F,'Mes 1'!$E:$E,B5)+SUMIFS('Mes 2'!$F:$F,'Mes 2'!$E:$E,B5)+SUMIFS('Mes 3'!$F:$F,'Mes 3'!$E:$E,B5)</f>
        <v/>
      </c>
      <c r="G5" s="3">
        <f>MAX(C5-F5,0)</f>
        <v/>
      </c>
      <c r="H5" s="8">
        <f>IF(G5&lt;=0,"✅ Pagada","⏳ Pendiente")</f>
        <v/>
      </c>
    </row>
    <row r="6">
      <c r="B6" s="8" t="inlineStr">
        <is>
          <t>Bancolombia 2</t>
        </is>
      </c>
      <c r="C6" s="3" t="n">
        <v>3128</v>
      </c>
      <c r="D6" s="12" t="n">
        <v>0.296152</v>
      </c>
      <c r="E6" s="3" t="n">
        <v>3128</v>
      </c>
      <c r="F6" s="3">
        <f>SUMIFS('Mes 1'!$F:$F,'Mes 1'!$E:$E,B6)+SUMIFS('Mes 2'!$F:$F,'Mes 2'!$E:$E,B6)+SUMIFS('Mes 3'!$F:$F,'Mes 3'!$E:$E,B6)</f>
        <v/>
      </c>
      <c r="G6" s="3">
        <f>MAX(C6-F6,0)</f>
        <v/>
      </c>
      <c r="H6" s="8">
        <f>IF(G6&lt;=0,"✅ Pagada","⏳ Pendiente")</f>
        <v/>
      </c>
    </row>
    <row r="7">
      <c r="B7" s="8" t="inlineStr">
        <is>
          <t>Tarjeta Nu</t>
        </is>
      </c>
      <c r="C7" s="3" t="n">
        <v>3018357</v>
      </c>
      <c r="D7" s="12" t="n">
        <v>0.292</v>
      </c>
      <c r="E7" s="3" t="n">
        <v>1100000</v>
      </c>
      <c r="F7" s="3">
        <f>SUMIFS('Mes 1'!$F:$F,'Mes 1'!$E:$E,B7)+SUMIFS('Mes 2'!$F:$F,'Mes 2'!$E:$E,B7)+SUMIFS('Mes 3'!$F:$F,'Mes 3'!$E:$E,B7)</f>
        <v/>
      </c>
      <c r="G7" s="3">
        <f>MAX(C7-F7,0)</f>
        <v/>
      </c>
      <c r="H7" s="8">
        <f>IF(G7&lt;=0,"✅ Pagada","⏳ Pendiente")</f>
        <v/>
      </c>
    </row>
    <row r="9">
      <c r="B9" s="2" t="inlineStr">
        <is>
          <t>TOTAL</t>
        </is>
      </c>
      <c r="C9" s="13">
        <f>SUM(C5:C7)</f>
        <v/>
      </c>
      <c r="D9" s="13">
        <f>SUM(D5:D7)</f>
        <v/>
      </c>
      <c r="F9" s="13">
        <f>SUM(F5:F7)</f>
        <v/>
      </c>
      <c r="G9" s="13">
        <f>SUM(G5:G7)</f>
        <v/>
      </c>
    </row>
    <row r="11">
      <c r="B11" s="14" t="inlineStr">
        <is>
          <t>Nota: 'Total Abonado' se calcula solo con lo que registres en la pestaña Movimientos usando el desplegable de 'Acreedor' (debe coincidir exacto con el nombre de esta tabla).</t>
        </is>
      </c>
    </row>
  </sheetData>
  <mergeCells count="2">
    <mergeCell ref="B2:G2"/>
    <mergeCell ref="B11:H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1"/>
  <sheetViews>
    <sheetView showGridLines="0" workbookViewId="0">
      <selection activeCell="A1" sqref="A1"/>
    </sheetView>
  </sheetViews>
  <sheetFormatPr baseColWidth="8" defaultRowHeight="15"/>
  <cols>
    <col width="3" customWidth="1" min="1" max="1"/>
    <col width="38" customWidth="1" min="2" max="2"/>
    <col width="18" customWidth="1" min="3" max="3"/>
    <col width="20" customWidth="1" min="4" max="4"/>
    <col width="20" customWidth="1" min="5" max="5"/>
  </cols>
  <sheetData>
    <row r="2">
      <c r="B2" s="1" t="inlineStr">
        <is>
          <t>GASTOS FIJOS MENSUALES</t>
        </is>
      </c>
    </row>
    <row r="4">
      <c r="B4" s="11" t="inlineStr">
        <is>
          <t>Rubro</t>
        </is>
      </c>
      <c r="C4" s="11" t="inlineStr">
        <is>
          <t>Valor Mensual</t>
        </is>
      </c>
      <c r="D4" s="11" t="inlineStr">
        <is>
          <t>Guardar Quincena 1</t>
        </is>
      </c>
      <c r="E4" s="11" t="inlineStr">
        <is>
          <t>Guardar Quincena 2</t>
        </is>
      </c>
    </row>
    <row r="5">
      <c r="B5" s="8" t="inlineStr">
        <is>
          <t>Vivienda (Arriendo)</t>
        </is>
      </c>
      <c r="C5" s="3" t="n">
        <v>1600000</v>
      </c>
      <c r="D5" s="3">
        <f>ROUND(C5/2,0)</f>
        <v/>
      </c>
      <c r="E5" s="3">
        <f>C5-D5</f>
        <v/>
      </c>
    </row>
    <row r="6">
      <c r="B6" s="8" t="inlineStr">
        <is>
          <t>Servicios (Agua, luz, gas, internet)</t>
        </is>
      </c>
      <c r="C6" s="3" t="n">
        <v>339600</v>
      </c>
      <c r="D6" s="3">
        <f>ROUND(C6/2,0)</f>
        <v/>
      </c>
      <c r="E6" s="3">
        <f>C6-D6</f>
        <v/>
      </c>
    </row>
    <row r="7">
      <c r="B7" s="8" t="inlineStr">
        <is>
          <t>Préstamo Confama</t>
        </is>
      </c>
      <c r="C7" s="3" t="n">
        <v>775054</v>
      </c>
      <c r="D7" s="3">
        <f>ROUND(C7/2,0)</f>
        <v/>
      </c>
      <c r="E7" s="3">
        <f>C7-D7</f>
        <v/>
      </c>
    </row>
    <row r="8">
      <c r="B8" s="8" t="inlineStr">
        <is>
          <t>Transporte/Gasolina</t>
        </is>
      </c>
      <c r="C8" s="3" t="n">
        <v>50000</v>
      </c>
      <c r="D8" s="3">
        <f>ROUND(C8/2,0)</f>
        <v/>
      </c>
      <c r="E8" s="3">
        <f>C8-D8</f>
        <v/>
      </c>
    </row>
    <row r="9">
      <c r="B9" s="8" t="inlineStr">
        <is>
          <t>Seguros y Suscripciones</t>
        </is>
      </c>
      <c r="C9" s="3" t="n">
        <v>259200</v>
      </c>
      <c r="D9" s="3">
        <f>ROUND(C9/2,0)</f>
        <v/>
      </c>
      <c r="E9" s="3">
        <f>C9-D9</f>
        <v/>
      </c>
    </row>
    <row r="10">
      <c r="B10" s="8" t="inlineStr">
        <is>
          <t>Otros fijos</t>
        </is>
      </c>
      <c r="C10" s="3" t="n">
        <v>100000</v>
      </c>
      <c r="D10" s="3">
        <f>ROUND(C10/2,0)</f>
        <v/>
      </c>
      <c r="E10" s="3">
        <f>C10-D10</f>
        <v/>
      </c>
    </row>
    <row r="11">
      <c r="B11" s="8" t="inlineStr">
        <is>
          <t>Imprevistos</t>
        </is>
      </c>
      <c r="C11" s="3" t="n">
        <v>100000</v>
      </c>
      <c r="D11" s="3">
        <f>ROUND(C11/2,0)</f>
        <v/>
      </c>
      <c r="E11" s="3">
        <f>C11-D11</f>
        <v/>
      </c>
    </row>
    <row r="12">
      <c r="B12" s="2" t="inlineStr">
        <is>
          <t>TOTAL GASTOS FIJOS</t>
        </is>
      </c>
      <c r="C12" s="13">
        <f>SUM(C5:C11)</f>
        <v/>
      </c>
      <c r="D12" s="13">
        <f>SUM(D5:D11)</f>
        <v/>
      </c>
      <c r="E12" s="13">
        <f>SUM(E5:E11)</f>
        <v/>
      </c>
    </row>
    <row r="14">
      <c r="B14" s="14" t="inlineStr">
        <is>
          <t>Nota: 'Quincena 1' = primeros 15 días del mes, 'Quincena 2' = resto del mes. Divide cada rubro a la mitad para separar cuánto apartar en cada pago de nómina quincenal.</t>
        </is>
      </c>
    </row>
    <row r="17">
      <c r="B17" s="6" t="inlineStr">
        <is>
          <t>INGRESOS</t>
        </is>
      </c>
    </row>
    <row r="18">
      <c r="B18" s="8" t="inlineStr">
        <is>
          <t>Ingreso Fijo Neto</t>
        </is>
      </c>
      <c r="C18" s="3" t="n">
        <v>4500000</v>
      </c>
    </row>
    <row r="19">
      <c r="B19" s="8" t="inlineStr">
        <is>
          <t>Ingreso Variable/Extra (promedio)</t>
        </is>
      </c>
      <c r="C19" s="3" t="n">
        <v>600000</v>
      </c>
    </row>
    <row r="20">
      <c r="B20" s="2" t="inlineStr">
        <is>
          <t>TOTAL INGRESOS</t>
        </is>
      </c>
      <c r="C20" s="13">
        <f>SUM(C18:C19)</f>
        <v/>
      </c>
    </row>
    <row r="21">
      <c r="B21" s="8" t="inlineStr">
        <is>
          <t>TOTAL GASTOS FIJOS</t>
        </is>
      </c>
      <c r="C21" s="3">
        <f>C12</f>
        <v/>
      </c>
    </row>
    <row r="24">
      <c r="B24" s="6" t="inlineStr">
        <is>
          <t>CUOTAS DE TARJETAS (mientras estén activas)</t>
        </is>
      </c>
    </row>
    <row r="25">
      <c r="B25" s="11" t="inlineStr">
        <is>
          <t>Acreedor</t>
        </is>
      </c>
      <c r="C25" s="11" t="inlineStr">
        <is>
          <t>Cuota Mensual</t>
        </is>
      </c>
      <c r="D25" s="11" t="inlineStr">
        <is>
          <t>Guardar Quincena 1</t>
        </is>
      </c>
      <c r="E25" s="11" t="inlineStr">
        <is>
          <t>Guardar Quincena 2</t>
        </is>
      </c>
    </row>
    <row r="26">
      <c r="B26" s="8" t="inlineStr">
        <is>
          <t>Bancolombia 1</t>
        </is>
      </c>
      <c r="C26" s="3" t="n">
        <v>164806</v>
      </c>
      <c r="D26" s="3">
        <f>ROUND(C26/2,0)</f>
        <v/>
      </c>
      <c r="E26" s="3">
        <f>C26-D26</f>
        <v/>
      </c>
    </row>
    <row r="27">
      <c r="B27" s="8" t="inlineStr">
        <is>
          <t>Bancolombia 2</t>
        </is>
      </c>
      <c r="C27" s="3" t="n">
        <v>3128</v>
      </c>
      <c r="D27" s="3">
        <f>ROUND(C27/2,0)</f>
        <v/>
      </c>
      <c r="E27" s="3">
        <f>C27-D27</f>
        <v/>
      </c>
    </row>
    <row r="28">
      <c r="B28" s="8" t="inlineStr">
        <is>
          <t>Tarjeta Nu</t>
        </is>
      </c>
      <c r="C28" s="3" t="n">
        <v>1100000</v>
      </c>
      <c r="D28" s="3">
        <f>ROUND(C28/2,0)</f>
        <v/>
      </c>
      <c r="E28" s="3">
        <f>C28-D28</f>
        <v/>
      </c>
    </row>
    <row r="29">
      <c r="B29" s="2" t="inlineStr">
        <is>
          <t>TOTAL CUOTAS TARJETAS</t>
        </is>
      </c>
      <c r="C29" s="13">
        <f>SUM(C26:C28)</f>
        <v/>
      </c>
      <c r="D29" s="13">
        <f>SUM(D26:D28)</f>
        <v/>
      </c>
      <c r="E29" s="13">
        <f>SUM(E26:E28)</f>
        <v/>
      </c>
    </row>
    <row r="31">
      <c r="B31" s="14" t="inlineStr">
        <is>
          <t>Nota: estas cuotas son las MÍNIMAS. Mientras el plan de avalancha esté activo, se paga más que esto (ver pestaña Deudas/Panel); esta tabla es solo el piso mínimo a apartar por quincena.</t>
        </is>
      </c>
    </row>
  </sheetData>
  <mergeCells count="3">
    <mergeCell ref="B31:E31"/>
    <mergeCell ref="B2:C2"/>
    <mergeCell ref="B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50"/>
  <sheetViews>
    <sheetView showGridLines="0" workbookViewId="0">
      <selection activeCell="A1" sqref="A1"/>
    </sheetView>
  </sheetViews>
  <sheetFormatPr baseColWidth="8" defaultRowHeight="15"/>
  <cols>
    <col width="3" customWidth="1" min="1" max="1"/>
    <col width="16" customWidth="1" min="2" max="2"/>
    <col width="12" customWidth="1" min="3" max="3"/>
    <col width="18" customWidth="1" min="4" max="4"/>
    <col width="30" customWidth="1" min="5" max="5"/>
    <col width="16" customWidth="1" min="6" max="6"/>
    <col width="12" customWidth="1" min="7" max="7"/>
    <col width="30" customWidth="1" min="8" max="8"/>
  </cols>
  <sheetData>
    <row r="2">
      <c r="B2" s="1" t="inlineStr">
        <is>
          <t>MOVIMIENTOS — MES 1</t>
        </is>
      </c>
    </row>
    <row r="4">
      <c r="B4" s="15" t="inlineStr">
        <is>
          <t>Ingreso Quincena 1</t>
        </is>
      </c>
      <c r="C4" s="3">
        <f>ROUND('Gastos Fijos'!C20/2,0)</f>
        <v/>
      </c>
    </row>
    <row r="5">
      <c r="B5" s="15" t="inlineStr">
        <is>
          <t>Ingreso Quincena 2</t>
        </is>
      </c>
      <c r="C5" s="3">
        <f>'Gastos Fijos'!C20-C4</f>
        <v/>
      </c>
    </row>
    <row r="6">
      <c r="B6" s="2" t="inlineStr">
        <is>
          <t>INGRESO TOTAL MES</t>
        </is>
      </c>
      <c r="C6" s="13">
        <f>C4+C5</f>
        <v/>
      </c>
    </row>
    <row r="8">
      <c r="B8" s="11" t="inlineStr">
        <is>
          <t>Fecha</t>
        </is>
      </c>
      <c r="C8" s="11" t="inlineStr">
        <is>
          <t>Quincena</t>
        </is>
      </c>
      <c r="D8" s="11" t="inlineStr">
        <is>
          <t>Categoría</t>
        </is>
      </c>
      <c r="E8" s="11" t="inlineStr">
        <is>
          <t>Acreedor (si es pago tarjeta)</t>
        </is>
      </c>
      <c r="F8" s="11" t="inlineStr">
        <is>
          <t>Valor</t>
        </is>
      </c>
      <c r="G8" s="11" t="inlineStr">
        <is>
          <t>Tipo</t>
        </is>
      </c>
      <c r="H8" s="11" t="inlineStr">
        <is>
          <t>Notas</t>
        </is>
      </c>
    </row>
    <row r="9">
      <c r="B9" s="16" t="inlineStr">
        <is>
          <t>Ej: 2026-08-20</t>
        </is>
      </c>
      <c r="C9" s="16" t="inlineStr">
        <is>
          <t>Quincena 1</t>
        </is>
      </c>
      <c r="D9" s="16" t="inlineStr">
        <is>
          <t>Pago tarjeta</t>
        </is>
      </c>
      <c r="E9" s="16" t="inlineStr">
        <is>
          <t>Bancolombia 2</t>
        </is>
      </c>
      <c r="F9" s="17" t="n">
        <v>3128</v>
      </c>
      <c r="G9" s="16" t="inlineStr">
        <is>
          <t>Deuda</t>
        </is>
      </c>
      <c r="H9" s="16" t="inlineStr">
        <is>
          <t>Saldar completa</t>
        </is>
      </c>
    </row>
    <row r="10">
      <c r="B10" s="16" t="inlineStr">
        <is>
          <t>Ej: 2026-08-20</t>
        </is>
      </c>
      <c r="C10" s="16" t="inlineStr">
        <is>
          <t>Quincena 1</t>
        </is>
      </c>
      <c r="D10" s="16" t="inlineStr">
        <is>
          <t>Pago tarjeta</t>
        </is>
      </c>
      <c r="E10" s="16" t="inlineStr">
        <is>
          <t>Bancolombia 1</t>
        </is>
      </c>
      <c r="F10" s="17" t="n">
        <v>455640</v>
      </c>
      <c r="G10" s="16" t="inlineStr">
        <is>
          <t>Deuda</t>
        </is>
      </c>
      <c r="H10" s="16" t="inlineStr">
        <is>
          <t>Pago total</t>
        </is>
      </c>
    </row>
    <row r="11">
      <c r="B11" s="16" t="inlineStr">
        <is>
          <t>Ej: 2026-08-20</t>
        </is>
      </c>
      <c r="C11" s="16" t="inlineStr">
        <is>
          <t>Quincena 1</t>
        </is>
      </c>
      <c r="D11" s="16" t="inlineStr">
        <is>
          <t>Pago tarjeta</t>
        </is>
      </c>
      <c r="E11" s="16" t="inlineStr">
        <is>
          <t>Tarjeta Nu</t>
        </is>
      </c>
      <c r="F11" s="17" t="n">
        <v>1417378</v>
      </c>
      <c r="G11" s="16" t="inlineStr">
        <is>
          <t>Deuda</t>
        </is>
      </c>
      <c r="H11" s="16" t="inlineStr">
        <is>
          <t>Abono con excedente</t>
        </is>
      </c>
    </row>
    <row r="12">
      <c r="B12" s="8" t="n"/>
      <c r="C12" s="8" t="n"/>
      <c r="D12" s="8" t="n"/>
      <c r="E12" s="8" t="n"/>
      <c r="F12" s="3" t="n"/>
      <c r="G12" s="8" t="n"/>
      <c r="H12" s="8" t="n"/>
    </row>
    <row r="13">
      <c r="B13" s="8" t="n"/>
      <c r="C13" s="8" t="n"/>
      <c r="D13" s="8" t="n"/>
      <c r="E13" s="8" t="n"/>
      <c r="F13" s="3" t="n"/>
      <c r="G13" s="8" t="n"/>
      <c r="H13" s="8" t="n"/>
    </row>
    <row r="14">
      <c r="B14" s="8" t="n"/>
      <c r="C14" s="8" t="n"/>
      <c r="D14" s="8" t="n"/>
      <c r="E14" s="8" t="n"/>
      <c r="F14" s="3" t="n"/>
      <c r="G14" s="8" t="n"/>
      <c r="H14" s="8" t="n"/>
    </row>
    <row r="15">
      <c r="B15" s="8" t="n"/>
      <c r="C15" s="8" t="n"/>
      <c r="D15" s="8" t="n"/>
      <c r="E15" s="8" t="n"/>
      <c r="F15" s="3" t="n"/>
      <c r="G15" s="8" t="n"/>
      <c r="H15" s="8" t="n"/>
    </row>
    <row r="16">
      <c r="B16" s="8" t="n"/>
      <c r="C16" s="8" t="n"/>
      <c r="D16" s="8" t="n"/>
      <c r="E16" s="8" t="n"/>
      <c r="F16" s="3" t="n"/>
      <c r="G16" s="8" t="n"/>
      <c r="H16" s="8" t="n"/>
    </row>
    <row r="17">
      <c r="B17" s="8" t="n"/>
      <c r="C17" s="8" t="n"/>
      <c r="D17" s="8" t="n"/>
      <c r="E17" s="8" t="n"/>
      <c r="F17" s="3" t="n"/>
      <c r="G17" s="8" t="n"/>
      <c r="H17" s="8" t="n"/>
    </row>
    <row r="18">
      <c r="B18" s="8" t="n"/>
      <c r="C18" s="8" t="n"/>
      <c r="D18" s="8" t="n"/>
      <c r="E18" s="8" t="n"/>
      <c r="F18" s="3" t="n"/>
      <c r="G18" s="8" t="n"/>
      <c r="H18" s="8" t="n"/>
    </row>
    <row r="19">
      <c r="B19" s="8" t="n"/>
      <c r="C19" s="8" t="n"/>
      <c r="D19" s="8" t="n"/>
      <c r="E19" s="8" t="n"/>
      <c r="F19" s="3" t="n"/>
      <c r="G19" s="8" t="n"/>
      <c r="H19" s="8" t="n"/>
    </row>
    <row r="20">
      <c r="B20" s="8" t="n"/>
      <c r="C20" s="8" t="n"/>
      <c r="D20" s="8" t="n"/>
      <c r="E20" s="8" t="n"/>
      <c r="F20" s="3" t="n"/>
      <c r="G20" s="8" t="n"/>
      <c r="H20" s="8" t="n"/>
    </row>
    <row r="21">
      <c r="B21" s="8" t="n"/>
      <c r="C21" s="8" t="n"/>
      <c r="D21" s="8" t="n"/>
      <c r="E21" s="8" t="n"/>
      <c r="F21" s="3" t="n"/>
      <c r="G21" s="8" t="n"/>
      <c r="H21" s="8" t="n"/>
    </row>
    <row r="22">
      <c r="B22" s="8" t="n"/>
      <c r="C22" s="8" t="n"/>
      <c r="D22" s="8" t="n"/>
      <c r="E22" s="8" t="n"/>
      <c r="F22" s="3" t="n"/>
      <c r="G22" s="8" t="n"/>
      <c r="H22" s="8" t="n"/>
    </row>
    <row r="23">
      <c r="B23" s="8" t="n"/>
      <c r="C23" s="8" t="n"/>
      <c r="D23" s="8" t="n"/>
      <c r="E23" s="8" t="n"/>
      <c r="F23" s="3" t="n"/>
      <c r="G23" s="8" t="n"/>
      <c r="H23" s="8" t="n"/>
    </row>
    <row r="24">
      <c r="B24" s="8" t="n"/>
      <c r="C24" s="8" t="n"/>
      <c r="D24" s="8" t="n"/>
      <c r="E24" s="8" t="n"/>
      <c r="F24" s="3" t="n"/>
      <c r="G24" s="8" t="n"/>
      <c r="H24" s="8" t="n"/>
    </row>
    <row r="25">
      <c r="B25" s="8" t="n"/>
      <c r="C25" s="8" t="n"/>
      <c r="D25" s="8" t="n"/>
      <c r="E25" s="8" t="n"/>
      <c r="F25" s="3" t="n"/>
      <c r="G25" s="8" t="n"/>
      <c r="H25" s="8" t="n"/>
    </row>
    <row r="26">
      <c r="B26" s="8" t="n"/>
      <c r="C26" s="8" t="n"/>
      <c r="D26" s="8" t="n"/>
      <c r="E26" s="8" t="n"/>
      <c r="F26" s="3" t="n"/>
      <c r="G26" s="8" t="n"/>
      <c r="H26" s="8" t="n"/>
    </row>
    <row r="27">
      <c r="B27" s="8" t="n"/>
      <c r="C27" s="8" t="n"/>
      <c r="D27" s="8" t="n"/>
      <c r="E27" s="8" t="n"/>
      <c r="F27" s="3" t="n"/>
      <c r="G27" s="8" t="n"/>
      <c r="H27" s="8" t="n"/>
    </row>
    <row r="28">
      <c r="B28" s="8" t="n"/>
      <c r="C28" s="8" t="n"/>
      <c r="D28" s="8" t="n"/>
      <c r="E28" s="8" t="n"/>
      <c r="F28" s="3" t="n"/>
      <c r="G28" s="8" t="n"/>
      <c r="H28" s="8" t="n"/>
    </row>
    <row r="29">
      <c r="B29" s="8" t="n"/>
      <c r="C29" s="8" t="n"/>
      <c r="D29" s="8" t="n"/>
      <c r="E29" s="8" t="n"/>
      <c r="F29" s="3" t="n"/>
      <c r="G29" s="8" t="n"/>
      <c r="H29" s="8" t="n"/>
    </row>
    <row r="30">
      <c r="B30" s="8" t="n"/>
      <c r="C30" s="8" t="n"/>
      <c r="D30" s="8" t="n"/>
      <c r="E30" s="8" t="n"/>
      <c r="F30" s="3" t="n"/>
      <c r="G30" s="8" t="n"/>
      <c r="H30" s="8" t="n"/>
    </row>
    <row r="31">
      <c r="B31" s="8" t="n"/>
      <c r="C31" s="8" t="n"/>
      <c r="D31" s="8" t="n"/>
      <c r="E31" s="8" t="n"/>
      <c r="F31" s="3" t="n"/>
      <c r="G31" s="8" t="n"/>
      <c r="H31" s="8" t="n"/>
    </row>
    <row r="32">
      <c r="B32" s="8" t="n"/>
      <c r="C32" s="8" t="n"/>
      <c r="D32" s="8" t="n"/>
      <c r="E32" s="8" t="n"/>
      <c r="F32" s="3" t="n"/>
      <c r="G32" s="8" t="n"/>
      <c r="H32" s="8" t="n"/>
    </row>
    <row r="33">
      <c r="B33" s="8" t="n"/>
      <c r="C33" s="8" t="n"/>
      <c r="D33" s="8" t="n"/>
      <c r="E33" s="8" t="n"/>
      <c r="F33" s="3" t="n"/>
      <c r="G33" s="8" t="n"/>
      <c r="H33" s="8" t="n"/>
    </row>
    <row r="34">
      <c r="B34" s="8" t="n"/>
      <c r="C34" s="8" t="n"/>
      <c r="D34" s="8" t="n"/>
      <c r="E34" s="8" t="n"/>
      <c r="F34" s="3" t="n"/>
      <c r="G34" s="8" t="n"/>
      <c r="H34" s="8" t="n"/>
    </row>
    <row r="35">
      <c r="B35" s="8" t="n"/>
      <c r="C35" s="8" t="n"/>
      <c r="D35" s="8" t="n"/>
      <c r="E35" s="8" t="n"/>
      <c r="F35" s="3" t="n"/>
      <c r="G35" s="8" t="n"/>
      <c r="H35" s="8" t="n"/>
    </row>
    <row r="36">
      <c r="B36" s="8" t="n"/>
      <c r="C36" s="8" t="n"/>
      <c r="D36" s="8" t="n"/>
      <c r="E36" s="8" t="n"/>
      <c r="F36" s="3" t="n"/>
      <c r="G36" s="8" t="n"/>
      <c r="H36" s="8" t="n"/>
    </row>
    <row r="37">
      <c r="B37" s="8" t="n"/>
      <c r="C37" s="8" t="n"/>
      <c r="D37" s="8" t="n"/>
      <c r="E37" s="8" t="n"/>
      <c r="F37" s="3" t="n"/>
      <c r="G37" s="8" t="n"/>
      <c r="H37" s="8" t="n"/>
    </row>
    <row r="38">
      <c r="B38" s="8" t="n"/>
      <c r="C38" s="8" t="n"/>
      <c r="D38" s="8" t="n"/>
      <c r="E38" s="8" t="n"/>
      <c r="F38" s="3" t="n"/>
      <c r="G38" s="8" t="n"/>
      <c r="H38" s="8" t="n"/>
    </row>
    <row r="39">
      <c r="B39" s="8" t="n"/>
      <c r="C39" s="8" t="n"/>
      <c r="D39" s="8" t="n"/>
      <c r="E39" s="8" t="n"/>
      <c r="F39" s="3" t="n"/>
      <c r="G39" s="8" t="n"/>
      <c r="H39" s="8" t="n"/>
    </row>
    <row r="40">
      <c r="B40" s="8" t="n"/>
      <c r="C40" s="8" t="n"/>
      <c r="D40" s="8" t="n"/>
      <c r="E40" s="8" t="n"/>
      <c r="F40" s="3" t="n"/>
      <c r="G40" s="8" t="n"/>
      <c r="H40" s="8" t="n"/>
    </row>
    <row r="43">
      <c r="B43" s="6" t="inlineStr">
        <is>
          <t>RESUMEN Y CUADRE</t>
        </is>
      </c>
    </row>
    <row r="44">
      <c r="B44" s="8" t="inlineStr">
        <is>
          <t>Gastado Quincena 1</t>
        </is>
      </c>
      <c r="C44" s="3">
        <f>SUMIFS(F9:F40,C9:C40,"Quincena 1")</f>
        <v/>
      </c>
    </row>
    <row r="45">
      <c r="B45" s="8" t="inlineStr">
        <is>
          <t>Gastado Quincena 2</t>
        </is>
      </c>
      <c r="C45" s="3">
        <f>SUMIFS(F9:F40,C9:C40,"Quincena 2")</f>
        <v/>
      </c>
    </row>
    <row r="46">
      <c r="B46" s="8" t="inlineStr">
        <is>
          <t>Saldo Quincena 1 (Ingreso - Gastado)</t>
        </is>
      </c>
      <c r="C46" s="3">
        <f>C4-C44</f>
        <v/>
      </c>
    </row>
    <row r="47">
      <c r="B47" s="8" t="inlineStr">
        <is>
          <t>Saldo Quincena 2 (Ingreso - Gastado)</t>
        </is>
      </c>
      <c r="C47" s="3">
        <f>C5-C45</f>
        <v/>
      </c>
    </row>
    <row r="48">
      <c r="B48" s="8" t="inlineStr">
        <is>
          <t>Gasto Total del Mes</t>
        </is>
      </c>
      <c r="C48" s="3">
        <f>C44+C45</f>
        <v/>
      </c>
    </row>
    <row r="49">
      <c r="B49" s="8" t="inlineStr">
        <is>
          <t>Diferencia Total Mes (Ingreso - Gasto)</t>
        </is>
      </c>
      <c r="C49" s="3">
        <f>C6-C48</f>
        <v/>
      </c>
    </row>
    <row r="50">
      <c r="B50" s="2" t="inlineStr">
        <is>
          <t>¿Cuadra el mes?</t>
        </is>
      </c>
      <c r="C50" s="18">
        <f>IF(C49&gt;=0,"✅ Cuadra","⚠️ Revisar - te faltó dinero")</f>
        <v/>
      </c>
    </row>
  </sheetData>
  <mergeCells count="1">
    <mergeCell ref="B2:H2"/>
  </mergeCells>
  <dataValidations count="4">
    <dataValidation sqref="D9:D40" showDropDown="0" showInputMessage="0" showErrorMessage="0" allowBlank="1" type="list">
      <formula1>"Vivienda (Arriendo),Servicios (Agua, luz, gas, internet),Préstamo Confama,Transporte/Gasolina,Seguros y Suscripciones,Otros fijos,Imprevistos,Pago tarjeta,Otros"</formula1>
    </dataValidation>
    <dataValidation sqref="E9:E40" showDropDown="0" showInputMessage="0" showErrorMessage="0" allowBlank="1" type="list">
      <formula1>"Bancolombia 1,Bancolombia 2,Tarjeta Nu,Confama,N/A"</formula1>
    </dataValidation>
    <dataValidation sqref="C9:C40" showDropDown="0" showInputMessage="0" showErrorMessage="0" allowBlank="1" type="list">
      <formula1>"Quincena 1,Quincena 2"</formula1>
    </dataValidation>
    <dataValidation sqref="G9:G40" showDropDown="0" showInputMessage="0" showErrorMessage="0" allowBlank="1" type="list">
      <formula1>"Deuda,Fijo,Variable,Ahorro"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50"/>
  <sheetViews>
    <sheetView showGridLines="0" workbookViewId="0">
      <selection activeCell="A1" sqref="A1"/>
    </sheetView>
  </sheetViews>
  <sheetFormatPr baseColWidth="8" defaultRowHeight="15"/>
  <cols>
    <col width="3" customWidth="1" min="1" max="1"/>
    <col width="16" customWidth="1" min="2" max="2"/>
    <col width="12" customWidth="1" min="3" max="3"/>
    <col width="18" customWidth="1" min="4" max="4"/>
    <col width="30" customWidth="1" min="5" max="5"/>
    <col width="16" customWidth="1" min="6" max="6"/>
    <col width="12" customWidth="1" min="7" max="7"/>
    <col width="30" customWidth="1" min="8" max="8"/>
  </cols>
  <sheetData>
    <row r="2">
      <c r="B2" s="1" t="inlineStr">
        <is>
          <t>MOVIMIENTOS — MES 2</t>
        </is>
      </c>
    </row>
    <row r="4">
      <c r="B4" s="15" t="inlineStr">
        <is>
          <t>Ingreso Quincena 1</t>
        </is>
      </c>
      <c r="C4" s="3">
        <f>ROUND('Gastos Fijos'!C20/2,0)</f>
        <v/>
      </c>
    </row>
    <row r="5">
      <c r="B5" s="15" t="inlineStr">
        <is>
          <t>Ingreso Quincena 2</t>
        </is>
      </c>
      <c r="C5" s="3">
        <f>'Gastos Fijos'!C20-C4</f>
        <v/>
      </c>
    </row>
    <row r="6">
      <c r="B6" s="2" t="inlineStr">
        <is>
          <t>INGRESO TOTAL MES</t>
        </is>
      </c>
      <c r="C6" s="13">
        <f>C4+C5</f>
        <v/>
      </c>
    </row>
    <row r="8">
      <c r="B8" s="11" t="inlineStr">
        <is>
          <t>Fecha</t>
        </is>
      </c>
      <c r="C8" s="11" t="inlineStr">
        <is>
          <t>Quincena</t>
        </is>
      </c>
      <c r="D8" s="11" t="inlineStr">
        <is>
          <t>Categoría</t>
        </is>
      </c>
      <c r="E8" s="11" t="inlineStr">
        <is>
          <t>Acreedor (si es pago tarjeta)</t>
        </is>
      </c>
      <c r="F8" s="11" t="inlineStr">
        <is>
          <t>Valor</t>
        </is>
      </c>
      <c r="G8" s="11" t="inlineStr">
        <is>
          <t>Tipo</t>
        </is>
      </c>
      <c r="H8" s="11" t="inlineStr">
        <is>
          <t>Notas</t>
        </is>
      </c>
    </row>
    <row r="9">
      <c r="B9" s="8" t="n"/>
      <c r="C9" s="8" t="n"/>
      <c r="D9" s="8" t="n"/>
      <c r="E9" s="8" t="n"/>
      <c r="F9" s="3" t="n"/>
      <c r="G9" s="8" t="n"/>
      <c r="H9" s="8" t="n"/>
    </row>
    <row r="10">
      <c r="B10" s="8" t="n"/>
      <c r="C10" s="8" t="n"/>
      <c r="D10" s="8" t="n"/>
      <c r="E10" s="8" t="n"/>
      <c r="F10" s="3" t="n"/>
      <c r="G10" s="8" t="n"/>
      <c r="H10" s="8" t="n"/>
    </row>
    <row r="11">
      <c r="B11" s="8" t="n"/>
      <c r="C11" s="8" t="n"/>
      <c r="D11" s="8" t="n"/>
      <c r="E11" s="8" t="n"/>
      <c r="F11" s="3" t="n"/>
      <c r="G11" s="8" t="n"/>
      <c r="H11" s="8" t="n"/>
    </row>
    <row r="12">
      <c r="B12" s="8" t="n"/>
      <c r="C12" s="8" t="n"/>
      <c r="D12" s="8" t="n"/>
      <c r="E12" s="8" t="n"/>
      <c r="F12" s="3" t="n"/>
      <c r="G12" s="8" t="n"/>
      <c r="H12" s="8" t="n"/>
    </row>
    <row r="13">
      <c r="B13" s="8" t="n"/>
      <c r="C13" s="8" t="n"/>
      <c r="D13" s="8" t="n"/>
      <c r="E13" s="8" t="n"/>
      <c r="F13" s="3" t="n"/>
      <c r="G13" s="8" t="n"/>
      <c r="H13" s="8" t="n"/>
    </row>
    <row r="14">
      <c r="B14" s="8" t="n"/>
      <c r="C14" s="8" t="n"/>
      <c r="D14" s="8" t="n"/>
      <c r="E14" s="8" t="n"/>
      <c r="F14" s="3" t="n"/>
      <c r="G14" s="8" t="n"/>
      <c r="H14" s="8" t="n"/>
    </row>
    <row r="15">
      <c r="B15" s="8" t="n"/>
      <c r="C15" s="8" t="n"/>
      <c r="D15" s="8" t="n"/>
      <c r="E15" s="8" t="n"/>
      <c r="F15" s="3" t="n"/>
      <c r="G15" s="8" t="n"/>
      <c r="H15" s="8" t="n"/>
    </row>
    <row r="16">
      <c r="B16" s="8" t="n"/>
      <c r="C16" s="8" t="n"/>
      <c r="D16" s="8" t="n"/>
      <c r="E16" s="8" t="n"/>
      <c r="F16" s="3" t="n"/>
      <c r="G16" s="8" t="n"/>
      <c r="H16" s="8" t="n"/>
    </row>
    <row r="17">
      <c r="B17" s="8" t="n"/>
      <c r="C17" s="8" t="n"/>
      <c r="D17" s="8" t="n"/>
      <c r="E17" s="8" t="n"/>
      <c r="F17" s="3" t="n"/>
      <c r="G17" s="8" t="n"/>
      <c r="H17" s="8" t="n"/>
    </row>
    <row r="18">
      <c r="B18" s="8" t="n"/>
      <c r="C18" s="8" t="n"/>
      <c r="D18" s="8" t="n"/>
      <c r="E18" s="8" t="n"/>
      <c r="F18" s="3" t="n"/>
      <c r="G18" s="8" t="n"/>
      <c r="H18" s="8" t="n"/>
    </row>
    <row r="19">
      <c r="B19" s="8" t="n"/>
      <c r="C19" s="8" t="n"/>
      <c r="D19" s="8" t="n"/>
      <c r="E19" s="8" t="n"/>
      <c r="F19" s="3" t="n"/>
      <c r="G19" s="8" t="n"/>
      <c r="H19" s="8" t="n"/>
    </row>
    <row r="20">
      <c r="B20" s="8" t="n"/>
      <c r="C20" s="8" t="n"/>
      <c r="D20" s="8" t="n"/>
      <c r="E20" s="8" t="n"/>
      <c r="F20" s="3" t="n"/>
      <c r="G20" s="8" t="n"/>
      <c r="H20" s="8" t="n"/>
    </row>
    <row r="21">
      <c r="B21" s="8" t="n"/>
      <c r="C21" s="8" t="n"/>
      <c r="D21" s="8" t="n"/>
      <c r="E21" s="8" t="n"/>
      <c r="F21" s="3" t="n"/>
      <c r="G21" s="8" t="n"/>
      <c r="H21" s="8" t="n"/>
    </row>
    <row r="22">
      <c r="B22" s="8" t="n"/>
      <c r="C22" s="8" t="n"/>
      <c r="D22" s="8" t="n"/>
      <c r="E22" s="8" t="n"/>
      <c r="F22" s="3" t="n"/>
      <c r="G22" s="8" t="n"/>
      <c r="H22" s="8" t="n"/>
    </row>
    <row r="23">
      <c r="B23" s="8" t="n"/>
      <c r="C23" s="8" t="n"/>
      <c r="D23" s="8" t="n"/>
      <c r="E23" s="8" t="n"/>
      <c r="F23" s="3" t="n"/>
      <c r="G23" s="8" t="n"/>
      <c r="H23" s="8" t="n"/>
    </row>
    <row r="24">
      <c r="B24" s="8" t="n"/>
      <c r="C24" s="8" t="n"/>
      <c r="D24" s="8" t="n"/>
      <c r="E24" s="8" t="n"/>
      <c r="F24" s="3" t="n"/>
      <c r="G24" s="8" t="n"/>
      <c r="H24" s="8" t="n"/>
    </row>
    <row r="25">
      <c r="B25" s="8" t="n"/>
      <c r="C25" s="8" t="n"/>
      <c r="D25" s="8" t="n"/>
      <c r="E25" s="8" t="n"/>
      <c r="F25" s="3" t="n"/>
      <c r="G25" s="8" t="n"/>
      <c r="H25" s="8" t="n"/>
    </row>
    <row r="26">
      <c r="B26" s="8" t="n"/>
      <c r="C26" s="8" t="n"/>
      <c r="D26" s="8" t="n"/>
      <c r="E26" s="8" t="n"/>
      <c r="F26" s="3" t="n"/>
      <c r="G26" s="8" t="n"/>
      <c r="H26" s="8" t="n"/>
    </row>
    <row r="27">
      <c r="B27" s="8" t="n"/>
      <c r="C27" s="8" t="n"/>
      <c r="D27" s="8" t="n"/>
      <c r="E27" s="8" t="n"/>
      <c r="F27" s="3" t="n"/>
      <c r="G27" s="8" t="n"/>
      <c r="H27" s="8" t="n"/>
    </row>
    <row r="28">
      <c r="B28" s="8" t="n"/>
      <c r="C28" s="8" t="n"/>
      <c r="D28" s="8" t="n"/>
      <c r="E28" s="8" t="n"/>
      <c r="F28" s="3" t="n"/>
      <c r="G28" s="8" t="n"/>
      <c r="H28" s="8" t="n"/>
    </row>
    <row r="29">
      <c r="B29" s="8" t="n"/>
      <c r="C29" s="8" t="n"/>
      <c r="D29" s="8" t="n"/>
      <c r="E29" s="8" t="n"/>
      <c r="F29" s="3" t="n"/>
      <c r="G29" s="8" t="n"/>
      <c r="H29" s="8" t="n"/>
    </row>
    <row r="30">
      <c r="B30" s="8" t="n"/>
      <c r="C30" s="8" t="n"/>
      <c r="D30" s="8" t="n"/>
      <c r="E30" s="8" t="n"/>
      <c r="F30" s="3" t="n"/>
      <c r="G30" s="8" t="n"/>
      <c r="H30" s="8" t="n"/>
    </row>
    <row r="31">
      <c r="B31" s="8" t="n"/>
      <c r="C31" s="8" t="n"/>
      <c r="D31" s="8" t="n"/>
      <c r="E31" s="8" t="n"/>
      <c r="F31" s="3" t="n"/>
      <c r="G31" s="8" t="n"/>
      <c r="H31" s="8" t="n"/>
    </row>
    <row r="32">
      <c r="B32" s="8" t="n"/>
      <c r="C32" s="8" t="n"/>
      <c r="D32" s="8" t="n"/>
      <c r="E32" s="8" t="n"/>
      <c r="F32" s="3" t="n"/>
      <c r="G32" s="8" t="n"/>
      <c r="H32" s="8" t="n"/>
    </row>
    <row r="33">
      <c r="B33" s="8" t="n"/>
      <c r="C33" s="8" t="n"/>
      <c r="D33" s="8" t="n"/>
      <c r="E33" s="8" t="n"/>
      <c r="F33" s="3" t="n"/>
      <c r="G33" s="8" t="n"/>
      <c r="H33" s="8" t="n"/>
    </row>
    <row r="34">
      <c r="B34" s="8" t="n"/>
      <c r="C34" s="8" t="n"/>
      <c r="D34" s="8" t="n"/>
      <c r="E34" s="8" t="n"/>
      <c r="F34" s="3" t="n"/>
      <c r="G34" s="8" t="n"/>
      <c r="H34" s="8" t="n"/>
    </row>
    <row r="35">
      <c r="B35" s="8" t="n"/>
      <c r="C35" s="8" t="n"/>
      <c r="D35" s="8" t="n"/>
      <c r="E35" s="8" t="n"/>
      <c r="F35" s="3" t="n"/>
      <c r="G35" s="8" t="n"/>
      <c r="H35" s="8" t="n"/>
    </row>
    <row r="36">
      <c r="B36" s="8" t="n"/>
      <c r="C36" s="8" t="n"/>
      <c r="D36" s="8" t="n"/>
      <c r="E36" s="8" t="n"/>
      <c r="F36" s="3" t="n"/>
      <c r="G36" s="8" t="n"/>
      <c r="H36" s="8" t="n"/>
    </row>
    <row r="37">
      <c r="B37" s="8" t="n"/>
      <c r="C37" s="8" t="n"/>
      <c r="D37" s="8" t="n"/>
      <c r="E37" s="8" t="n"/>
      <c r="F37" s="3" t="n"/>
      <c r="G37" s="8" t="n"/>
      <c r="H37" s="8" t="n"/>
    </row>
    <row r="38">
      <c r="B38" s="8" t="n"/>
      <c r="C38" s="8" t="n"/>
      <c r="D38" s="8" t="n"/>
      <c r="E38" s="8" t="n"/>
      <c r="F38" s="3" t="n"/>
      <c r="G38" s="8" t="n"/>
      <c r="H38" s="8" t="n"/>
    </row>
    <row r="39">
      <c r="B39" s="8" t="n"/>
      <c r="C39" s="8" t="n"/>
      <c r="D39" s="8" t="n"/>
      <c r="E39" s="8" t="n"/>
      <c r="F39" s="3" t="n"/>
      <c r="G39" s="8" t="n"/>
      <c r="H39" s="8" t="n"/>
    </row>
    <row r="40">
      <c r="B40" s="8" t="n"/>
      <c r="C40" s="8" t="n"/>
      <c r="D40" s="8" t="n"/>
      <c r="E40" s="8" t="n"/>
      <c r="F40" s="3" t="n"/>
      <c r="G40" s="8" t="n"/>
      <c r="H40" s="8" t="n"/>
    </row>
    <row r="43">
      <c r="B43" s="6" t="inlineStr">
        <is>
          <t>RESUMEN Y CUADRE</t>
        </is>
      </c>
    </row>
    <row r="44">
      <c r="B44" s="8" t="inlineStr">
        <is>
          <t>Gastado Quincena 1</t>
        </is>
      </c>
      <c r="C44" s="3">
        <f>SUMIFS(F9:F40,C9:C40,"Quincena 1")</f>
        <v/>
      </c>
    </row>
    <row r="45">
      <c r="B45" s="8" t="inlineStr">
        <is>
          <t>Gastado Quincena 2</t>
        </is>
      </c>
      <c r="C45" s="3">
        <f>SUMIFS(F9:F40,C9:C40,"Quincena 2")</f>
        <v/>
      </c>
    </row>
    <row r="46">
      <c r="B46" s="8" t="inlineStr">
        <is>
          <t>Saldo Quincena 1 (Ingreso - Gastado)</t>
        </is>
      </c>
      <c r="C46" s="3">
        <f>C4-C44</f>
        <v/>
      </c>
    </row>
    <row r="47">
      <c r="B47" s="8" t="inlineStr">
        <is>
          <t>Saldo Quincena 2 (Ingreso - Gastado)</t>
        </is>
      </c>
      <c r="C47" s="3">
        <f>C5-C45</f>
        <v/>
      </c>
    </row>
    <row r="48">
      <c r="B48" s="8" t="inlineStr">
        <is>
          <t>Gasto Total del Mes</t>
        </is>
      </c>
      <c r="C48" s="3">
        <f>C44+C45</f>
        <v/>
      </c>
    </row>
    <row r="49">
      <c r="B49" s="8" t="inlineStr">
        <is>
          <t>Diferencia Total Mes (Ingreso - Gasto)</t>
        </is>
      </c>
      <c r="C49" s="3">
        <f>C6-C48</f>
        <v/>
      </c>
    </row>
    <row r="50">
      <c r="B50" s="2" t="inlineStr">
        <is>
          <t>¿Cuadra el mes?</t>
        </is>
      </c>
      <c r="C50" s="18">
        <f>IF(C49&gt;=0,"✅ Cuadra","⚠️ Revisar - te faltó dinero")</f>
        <v/>
      </c>
    </row>
  </sheetData>
  <mergeCells count="1">
    <mergeCell ref="B2:H2"/>
  </mergeCells>
  <dataValidations count="4">
    <dataValidation sqref="D9:D40" showDropDown="0" showInputMessage="0" showErrorMessage="0" allowBlank="1" type="list">
      <formula1>"Vivienda (Arriendo),Servicios (Agua, luz, gas, internet),Préstamo Confama,Transporte/Gasolina,Seguros y Suscripciones,Otros fijos,Imprevistos,Pago tarjeta,Otros"</formula1>
    </dataValidation>
    <dataValidation sqref="E9:E40" showDropDown="0" showInputMessage="0" showErrorMessage="0" allowBlank="1" type="list">
      <formula1>"Bancolombia 1,Bancolombia 2,Tarjeta Nu,Confama,N/A"</formula1>
    </dataValidation>
    <dataValidation sqref="C9:C40" showDropDown="0" showInputMessage="0" showErrorMessage="0" allowBlank="1" type="list">
      <formula1>"Quincena 1,Quincena 2"</formula1>
    </dataValidation>
    <dataValidation sqref="G9:G40" showDropDown="0" showInputMessage="0" showErrorMessage="0" allowBlank="1" type="list">
      <formula1>"Deuda,Fijo,Variable,Ahorro"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50"/>
  <sheetViews>
    <sheetView showGridLines="0" workbookViewId="0">
      <selection activeCell="A1" sqref="A1"/>
    </sheetView>
  </sheetViews>
  <sheetFormatPr baseColWidth="8" defaultRowHeight="15"/>
  <cols>
    <col width="3" customWidth="1" min="1" max="1"/>
    <col width="16" customWidth="1" min="2" max="2"/>
    <col width="12" customWidth="1" min="3" max="3"/>
    <col width="18" customWidth="1" min="4" max="4"/>
    <col width="30" customWidth="1" min="5" max="5"/>
    <col width="16" customWidth="1" min="6" max="6"/>
    <col width="12" customWidth="1" min="7" max="7"/>
    <col width="30" customWidth="1" min="8" max="8"/>
  </cols>
  <sheetData>
    <row r="2">
      <c r="B2" s="1" t="inlineStr">
        <is>
          <t>MOVIMIENTOS — MES 3</t>
        </is>
      </c>
    </row>
    <row r="4">
      <c r="B4" s="15" t="inlineStr">
        <is>
          <t>Ingreso Quincena 1</t>
        </is>
      </c>
      <c r="C4" s="3">
        <f>ROUND('Gastos Fijos'!C20/2,0)</f>
        <v/>
      </c>
    </row>
    <row r="5">
      <c r="B5" s="15" t="inlineStr">
        <is>
          <t>Ingreso Quincena 2</t>
        </is>
      </c>
      <c r="C5" s="3">
        <f>'Gastos Fijos'!C20-C4</f>
        <v/>
      </c>
    </row>
    <row r="6">
      <c r="B6" s="2" t="inlineStr">
        <is>
          <t>INGRESO TOTAL MES</t>
        </is>
      </c>
      <c r="C6" s="13">
        <f>C4+C5</f>
        <v/>
      </c>
    </row>
    <row r="8">
      <c r="B8" s="11" t="inlineStr">
        <is>
          <t>Fecha</t>
        </is>
      </c>
      <c r="C8" s="11" t="inlineStr">
        <is>
          <t>Quincena</t>
        </is>
      </c>
      <c r="D8" s="11" t="inlineStr">
        <is>
          <t>Categoría</t>
        </is>
      </c>
      <c r="E8" s="11" t="inlineStr">
        <is>
          <t>Acreedor (si es pago tarjeta)</t>
        </is>
      </c>
      <c r="F8" s="11" t="inlineStr">
        <is>
          <t>Valor</t>
        </is>
      </c>
      <c r="G8" s="11" t="inlineStr">
        <is>
          <t>Tipo</t>
        </is>
      </c>
      <c r="H8" s="11" t="inlineStr">
        <is>
          <t>Notas</t>
        </is>
      </c>
    </row>
    <row r="9">
      <c r="B9" s="8" t="n"/>
      <c r="C9" s="8" t="n"/>
      <c r="D9" s="8" t="n"/>
      <c r="E9" s="8" t="n"/>
      <c r="F9" s="3" t="n"/>
      <c r="G9" s="8" t="n"/>
      <c r="H9" s="8" t="n"/>
    </row>
    <row r="10">
      <c r="B10" s="8" t="n"/>
      <c r="C10" s="8" t="n"/>
      <c r="D10" s="8" t="n"/>
      <c r="E10" s="8" t="n"/>
      <c r="F10" s="3" t="n"/>
      <c r="G10" s="8" t="n"/>
      <c r="H10" s="8" t="n"/>
    </row>
    <row r="11">
      <c r="B11" s="8" t="n"/>
      <c r="C11" s="8" t="n"/>
      <c r="D11" s="8" t="n"/>
      <c r="E11" s="8" t="n"/>
      <c r="F11" s="3" t="n"/>
      <c r="G11" s="8" t="n"/>
      <c r="H11" s="8" t="n"/>
    </row>
    <row r="12">
      <c r="B12" s="8" t="n"/>
      <c r="C12" s="8" t="n"/>
      <c r="D12" s="8" t="n"/>
      <c r="E12" s="8" t="n"/>
      <c r="F12" s="3" t="n"/>
      <c r="G12" s="8" t="n"/>
      <c r="H12" s="8" t="n"/>
    </row>
    <row r="13">
      <c r="B13" s="8" t="n"/>
      <c r="C13" s="8" t="n"/>
      <c r="D13" s="8" t="n"/>
      <c r="E13" s="8" t="n"/>
      <c r="F13" s="3" t="n"/>
      <c r="G13" s="8" t="n"/>
      <c r="H13" s="8" t="n"/>
    </row>
    <row r="14">
      <c r="B14" s="8" t="n"/>
      <c r="C14" s="8" t="n"/>
      <c r="D14" s="8" t="n"/>
      <c r="E14" s="8" t="n"/>
      <c r="F14" s="3" t="n"/>
      <c r="G14" s="8" t="n"/>
      <c r="H14" s="8" t="n"/>
    </row>
    <row r="15">
      <c r="B15" s="8" t="n"/>
      <c r="C15" s="8" t="n"/>
      <c r="D15" s="8" t="n"/>
      <c r="E15" s="8" t="n"/>
      <c r="F15" s="3" t="n"/>
      <c r="G15" s="8" t="n"/>
      <c r="H15" s="8" t="n"/>
    </row>
    <row r="16">
      <c r="B16" s="8" t="n"/>
      <c r="C16" s="8" t="n"/>
      <c r="D16" s="8" t="n"/>
      <c r="E16" s="8" t="n"/>
      <c r="F16" s="3" t="n"/>
      <c r="G16" s="8" t="n"/>
      <c r="H16" s="8" t="n"/>
    </row>
    <row r="17">
      <c r="B17" s="8" t="n"/>
      <c r="C17" s="8" t="n"/>
      <c r="D17" s="8" t="n"/>
      <c r="E17" s="8" t="n"/>
      <c r="F17" s="3" t="n"/>
      <c r="G17" s="8" t="n"/>
      <c r="H17" s="8" t="n"/>
    </row>
    <row r="18">
      <c r="B18" s="8" t="n"/>
      <c r="C18" s="8" t="n"/>
      <c r="D18" s="8" t="n"/>
      <c r="E18" s="8" t="n"/>
      <c r="F18" s="3" t="n"/>
      <c r="G18" s="8" t="n"/>
      <c r="H18" s="8" t="n"/>
    </row>
    <row r="19">
      <c r="B19" s="8" t="n"/>
      <c r="C19" s="8" t="n"/>
      <c r="D19" s="8" t="n"/>
      <c r="E19" s="8" t="n"/>
      <c r="F19" s="3" t="n"/>
      <c r="G19" s="8" t="n"/>
      <c r="H19" s="8" t="n"/>
    </row>
    <row r="20">
      <c r="B20" s="8" t="n"/>
      <c r="C20" s="8" t="n"/>
      <c r="D20" s="8" t="n"/>
      <c r="E20" s="8" t="n"/>
      <c r="F20" s="3" t="n"/>
      <c r="G20" s="8" t="n"/>
      <c r="H20" s="8" t="n"/>
    </row>
    <row r="21">
      <c r="B21" s="8" t="n"/>
      <c r="C21" s="8" t="n"/>
      <c r="D21" s="8" t="n"/>
      <c r="E21" s="8" t="n"/>
      <c r="F21" s="3" t="n"/>
      <c r="G21" s="8" t="n"/>
      <c r="H21" s="8" t="n"/>
    </row>
    <row r="22">
      <c r="B22" s="8" t="n"/>
      <c r="C22" s="8" t="n"/>
      <c r="D22" s="8" t="n"/>
      <c r="E22" s="8" t="n"/>
      <c r="F22" s="3" t="n"/>
      <c r="G22" s="8" t="n"/>
      <c r="H22" s="8" t="n"/>
    </row>
    <row r="23">
      <c r="B23" s="8" t="n"/>
      <c r="C23" s="8" t="n"/>
      <c r="D23" s="8" t="n"/>
      <c r="E23" s="8" t="n"/>
      <c r="F23" s="3" t="n"/>
      <c r="G23" s="8" t="n"/>
      <c r="H23" s="8" t="n"/>
    </row>
    <row r="24">
      <c r="B24" s="8" t="n"/>
      <c r="C24" s="8" t="n"/>
      <c r="D24" s="8" t="n"/>
      <c r="E24" s="8" t="n"/>
      <c r="F24" s="3" t="n"/>
      <c r="G24" s="8" t="n"/>
      <c r="H24" s="8" t="n"/>
    </row>
    <row r="25">
      <c r="B25" s="8" t="n"/>
      <c r="C25" s="8" t="n"/>
      <c r="D25" s="8" t="n"/>
      <c r="E25" s="8" t="n"/>
      <c r="F25" s="3" t="n"/>
      <c r="G25" s="8" t="n"/>
      <c r="H25" s="8" t="n"/>
    </row>
    <row r="26">
      <c r="B26" s="8" t="n"/>
      <c r="C26" s="8" t="n"/>
      <c r="D26" s="8" t="n"/>
      <c r="E26" s="8" t="n"/>
      <c r="F26" s="3" t="n"/>
      <c r="G26" s="8" t="n"/>
      <c r="H26" s="8" t="n"/>
    </row>
    <row r="27">
      <c r="B27" s="8" t="n"/>
      <c r="C27" s="8" t="n"/>
      <c r="D27" s="8" t="n"/>
      <c r="E27" s="8" t="n"/>
      <c r="F27" s="3" t="n"/>
      <c r="G27" s="8" t="n"/>
      <c r="H27" s="8" t="n"/>
    </row>
    <row r="28">
      <c r="B28" s="8" t="n"/>
      <c r="C28" s="8" t="n"/>
      <c r="D28" s="8" t="n"/>
      <c r="E28" s="8" t="n"/>
      <c r="F28" s="3" t="n"/>
      <c r="G28" s="8" t="n"/>
      <c r="H28" s="8" t="n"/>
    </row>
    <row r="29">
      <c r="B29" s="8" t="n"/>
      <c r="C29" s="8" t="n"/>
      <c r="D29" s="8" t="n"/>
      <c r="E29" s="8" t="n"/>
      <c r="F29" s="3" t="n"/>
      <c r="G29" s="8" t="n"/>
      <c r="H29" s="8" t="n"/>
    </row>
    <row r="30">
      <c r="B30" s="8" t="n"/>
      <c r="C30" s="8" t="n"/>
      <c r="D30" s="8" t="n"/>
      <c r="E30" s="8" t="n"/>
      <c r="F30" s="3" t="n"/>
      <c r="G30" s="8" t="n"/>
      <c r="H30" s="8" t="n"/>
    </row>
    <row r="31">
      <c r="B31" s="8" t="n"/>
      <c r="C31" s="8" t="n"/>
      <c r="D31" s="8" t="n"/>
      <c r="E31" s="8" t="n"/>
      <c r="F31" s="3" t="n"/>
      <c r="G31" s="8" t="n"/>
      <c r="H31" s="8" t="n"/>
    </row>
    <row r="32">
      <c r="B32" s="8" t="n"/>
      <c r="C32" s="8" t="n"/>
      <c r="D32" s="8" t="n"/>
      <c r="E32" s="8" t="n"/>
      <c r="F32" s="3" t="n"/>
      <c r="G32" s="8" t="n"/>
      <c r="H32" s="8" t="n"/>
    </row>
    <row r="33">
      <c r="B33" s="8" t="n"/>
      <c r="C33" s="8" t="n"/>
      <c r="D33" s="8" t="n"/>
      <c r="E33" s="8" t="n"/>
      <c r="F33" s="3" t="n"/>
      <c r="G33" s="8" t="n"/>
      <c r="H33" s="8" t="n"/>
    </row>
    <row r="34">
      <c r="B34" s="8" t="n"/>
      <c r="C34" s="8" t="n"/>
      <c r="D34" s="8" t="n"/>
      <c r="E34" s="8" t="n"/>
      <c r="F34" s="3" t="n"/>
      <c r="G34" s="8" t="n"/>
      <c r="H34" s="8" t="n"/>
    </row>
    <row r="35">
      <c r="B35" s="8" t="n"/>
      <c r="C35" s="8" t="n"/>
      <c r="D35" s="8" t="n"/>
      <c r="E35" s="8" t="n"/>
      <c r="F35" s="3" t="n"/>
      <c r="G35" s="8" t="n"/>
      <c r="H35" s="8" t="n"/>
    </row>
    <row r="36">
      <c r="B36" s="8" t="n"/>
      <c r="C36" s="8" t="n"/>
      <c r="D36" s="8" t="n"/>
      <c r="E36" s="8" t="n"/>
      <c r="F36" s="3" t="n"/>
      <c r="G36" s="8" t="n"/>
      <c r="H36" s="8" t="n"/>
    </row>
    <row r="37">
      <c r="B37" s="8" t="n"/>
      <c r="C37" s="8" t="n"/>
      <c r="D37" s="8" t="n"/>
      <c r="E37" s="8" t="n"/>
      <c r="F37" s="3" t="n"/>
      <c r="G37" s="8" t="n"/>
      <c r="H37" s="8" t="n"/>
    </row>
    <row r="38">
      <c r="B38" s="8" t="n"/>
      <c r="C38" s="8" t="n"/>
      <c r="D38" s="8" t="n"/>
      <c r="E38" s="8" t="n"/>
      <c r="F38" s="3" t="n"/>
      <c r="G38" s="8" t="n"/>
      <c r="H38" s="8" t="n"/>
    </row>
    <row r="39">
      <c r="B39" s="8" t="n"/>
      <c r="C39" s="8" t="n"/>
      <c r="D39" s="8" t="n"/>
      <c r="E39" s="8" t="n"/>
      <c r="F39" s="3" t="n"/>
      <c r="G39" s="8" t="n"/>
      <c r="H39" s="8" t="n"/>
    </row>
    <row r="40">
      <c r="B40" s="8" t="n"/>
      <c r="C40" s="8" t="n"/>
      <c r="D40" s="8" t="n"/>
      <c r="E40" s="8" t="n"/>
      <c r="F40" s="3" t="n"/>
      <c r="G40" s="8" t="n"/>
      <c r="H40" s="8" t="n"/>
    </row>
    <row r="43">
      <c r="B43" s="6" t="inlineStr">
        <is>
          <t>RESUMEN Y CUADRE</t>
        </is>
      </c>
    </row>
    <row r="44">
      <c r="B44" s="8" t="inlineStr">
        <is>
          <t>Gastado Quincena 1</t>
        </is>
      </c>
      <c r="C44" s="3">
        <f>SUMIFS(F9:F40,C9:C40,"Quincena 1")</f>
        <v/>
      </c>
    </row>
    <row r="45">
      <c r="B45" s="8" t="inlineStr">
        <is>
          <t>Gastado Quincena 2</t>
        </is>
      </c>
      <c r="C45" s="3">
        <f>SUMIFS(F9:F40,C9:C40,"Quincena 2")</f>
        <v/>
      </c>
    </row>
    <row r="46">
      <c r="B46" s="8" t="inlineStr">
        <is>
          <t>Saldo Quincena 1 (Ingreso - Gastado)</t>
        </is>
      </c>
      <c r="C46" s="3">
        <f>C4-C44</f>
        <v/>
      </c>
    </row>
    <row r="47">
      <c r="B47" s="8" t="inlineStr">
        <is>
          <t>Saldo Quincena 2 (Ingreso - Gastado)</t>
        </is>
      </c>
      <c r="C47" s="3">
        <f>C5-C45</f>
        <v/>
      </c>
    </row>
    <row r="48">
      <c r="B48" s="8" t="inlineStr">
        <is>
          <t>Gasto Total del Mes</t>
        </is>
      </c>
      <c r="C48" s="3">
        <f>C44+C45</f>
        <v/>
      </c>
    </row>
    <row r="49">
      <c r="B49" s="8" t="inlineStr">
        <is>
          <t>Diferencia Total Mes (Ingreso - Gasto)</t>
        </is>
      </c>
      <c r="C49" s="3">
        <f>C6-C48</f>
        <v/>
      </c>
    </row>
    <row r="50">
      <c r="B50" s="2" t="inlineStr">
        <is>
          <t>¿Cuadra el mes?</t>
        </is>
      </c>
      <c r="C50" s="18">
        <f>IF(C49&gt;=0,"✅ Cuadra","⚠️ Revisar - te faltó dinero")</f>
        <v/>
      </c>
    </row>
  </sheetData>
  <mergeCells count="1">
    <mergeCell ref="B2:H2"/>
  </mergeCells>
  <dataValidations count="4">
    <dataValidation sqref="D9:D40" showDropDown="0" showInputMessage="0" showErrorMessage="0" allowBlank="1" type="list">
      <formula1>"Vivienda (Arriendo),Servicios (Agua, luz, gas, internet),Préstamo Confama,Transporte/Gasolina,Seguros y Suscripciones,Otros fijos,Imprevistos,Pago tarjeta,Otros"</formula1>
    </dataValidation>
    <dataValidation sqref="E9:E40" showDropDown="0" showInputMessage="0" showErrorMessage="0" allowBlank="1" type="list">
      <formula1>"Bancolombia 1,Bancolombia 2,Tarjeta Nu,Confama,N/A"</formula1>
    </dataValidation>
    <dataValidation sqref="C9:C40" showDropDown="0" showInputMessage="0" showErrorMessage="0" allowBlank="1" type="list">
      <formula1>"Quincena 1,Quincena 2"</formula1>
    </dataValidation>
    <dataValidation sqref="G9:G40" showDropDown="0" showInputMessage="0" showErrorMessage="0" allowBlank="1" type="list">
      <formula1>"Deuda,Fijo,Variable,Ahorro"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2026-08-18T12:08:11Z</dcterms:created>
  <dcterms:modified xsi:type="dcterms:W3CDTF">2026-08-18T12:08:11Z</dcterms:modified>
</cp:coreProperties>
</file>